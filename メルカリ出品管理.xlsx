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品管理" sheetId="1" state="visible" r:id="rId1"/>
    <sheet name="売上集計" sheetId="2" state="visible" r:id="rId2"/>
    <sheet name="発送方法リスト" sheetId="3" state="visible" r:id="rId3"/>
    <sheet name="使い方ガイ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1F4E79"/>
      <sz val="10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2F9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3" fontId="3" fillId="4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3" fontId="4" fillId="5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vertical="center"/>
    </xf>
    <xf numFmtId="0" fontId="3" fillId="0" borderId="2" pivotButton="0" quotePrefix="0" xfId="0"/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4" borderId="2" applyAlignment="1" pivotButton="0" quotePrefix="0" xfId="0">
      <alignment vertical="center"/>
    </xf>
    <xf numFmtId="3" fontId="3" fillId="4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3" fontId="3" fillId="7" borderId="2" applyAlignment="1" pivotButton="0" quotePrefix="0" xfId="0">
      <alignment horizontal="right" vertical="center"/>
    </xf>
    <xf numFmtId="0" fontId="3" fillId="6" borderId="2" applyAlignment="1" pivotButton="0" quotePrefix="0" xfId="0">
      <alignment vertical="center"/>
    </xf>
    <xf numFmtId="3" fontId="3" fillId="6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0" fontId="7" fillId="8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8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1" customWidth="1" min="4" max="4"/>
    <col width="13" customWidth="1" min="5" max="5"/>
    <col width="20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20" customWidth="1" min="12" max="12"/>
    <col width="12" customWidth="1" min="13" max="13"/>
    <col width="11" customWidth="1" min="14" max="14"/>
    <col width="30" customWidth="1" min="15" max="15"/>
  </cols>
  <sheetData>
    <row r="1" ht="30" customHeight="1">
      <c r="A1" s="1" t="inlineStr">
        <is>
          <t>メルカリ出品管理シート</t>
        </is>
      </c>
    </row>
    <row r="2" ht="8" customHeight="1"/>
    <row r="3" ht="36" customHeight="1">
      <c r="A3" s="2" t="inlineStr">
        <is>
          <t>出品ID</t>
        </is>
      </c>
      <c r="B3" s="2" t="inlineStr">
        <is>
          <t>商品名</t>
        </is>
      </c>
      <c r="C3" s="2" t="inlineStr">
        <is>
          <t>カテゴリ</t>
        </is>
      </c>
      <c r="D3" s="2" t="inlineStr">
        <is>
          <t>出品価格
(円)</t>
        </is>
      </c>
      <c r="E3" s="2" t="inlineStr">
        <is>
          <t>希望最低価格
(円)</t>
        </is>
      </c>
      <c r="F3" s="2" t="inlineStr">
        <is>
          <t>商品の状態</t>
        </is>
      </c>
      <c r="G3" s="2" t="inlineStr">
        <is>
          <t>出品日</t>
        </is>
      </c>
      <c r="H3" s="2" t="inlineStr">
        <is>
          <t>売却日</t>
        </is>
      </c>
      <c r="I3" s="2" t="inlineStr">
        <is>
          <t>売却価格
(円)</t>
        </is>
      </c>
      <c r="J3" s="2" t="inlineStr">
        <is>
          <t>ステータス</t>
        </is>
      </c>
      <c r="K3" s="2" t="inlineStr">
        <is>
          <t>購入者評価</t>
        </is>
      </c>
      <c r="L3" s="2" t="inlineStr">
        <is>
          <t>発送方法</t>
        </is>
      </c>
      <c r="M3" s="2" t="inlineStr">
        <is>
          <t>送料負担</t>
        </is>
      </c>
      <c r="N3" s="2" t="inlineStr">
        <is>
          <t>利益
(円)</t>
        </is>
      </c>
      <c r="O3" s="2" t="inlineStr">
        <is>
          <t>メモ</t>
        </is>
      </c>
    </row>
    <row r="4" ht="20" customHeight="1">
      <c r="A4" s="3" t="n">
        <v>1</v>
      </c>
      <c r="B4" s="3" t="inlineStr">
        <is>
          <t>ナイキ スニーカー 26cm</t>
        </is>
      </c>
      <c r="C4" s="3" t="inlineStr">
        <is>
          <t>スポーツ・レジャー</t>
        </is>
      </c>
      <c r="D4" s="4" t="n">
        <v>3500</v>
      </c>
      <c r="E4" s="4" t="n">
        <v>2800</v>
      </c>
      <c r="F4" s="3" t="inlineStr">
        <is>
          <t>未使用に近い</t>
        </is>
      </c>
      <c r="G4" s="5" t="inlineStr">
        <is>
          <t>2026/04/01</t>
        </is>
      </c>
      <c r="H4" s="5" t="inlineStr">
        <is>
          <t>2026/04/08</t>
        </is>
      </c>
      <c r="I4" s="4" t="n">
        <v>3500</v>
      </c>
      <c r="J4" s="3" t="inlineStr">
        <is>
          <t>売却済</t>
        </is>
      </c>
      <c r="K4" s="3" t="inlineStr">
        <is>
          <t>良い</t>
        </is>
      </c>
      <c r="L4" s="3" t="inlineStr">
        <is>
          <t>らくらくメルカリ便（宅急便コンパクト）</t>
        </is>
      </c>
      <c r="M4" s="3" t="inlineStr">
        <is>
          <t>送料込み(出品者)</t>
        </is>
      </c>
      <c r="N4" s="6">
        <f>IF(J4="売却済",ROUND(I4*0.9,0),"")</f>
        <v/>
      </c>
      <c r="O4" s="7" t="inlineStr">
        <is>
          <t>美品</t>
        </is>
      </c>
    </row>
    <row r="5" ht="20" customHeight="1">
      <c r="A5" s="3" t="n">
        <v>2</v>
      </c>
      <c r="B5" s="3" t="inlineStr">
        <is>
          <t>ユニクロ フリース Mサイズ 黒</t>
        </is>
      </c>
      <c r="C5" s="3" t="inlineStr">
        <is>
          <t>メンズファッション</t>
        </is>
      </c>
      <c r="D5" s="4" t="n">
        <v>1200</v>
      </c>
      <c r="E5" s="4" t="n">
        <v>900</v>
      </c>
      <c r="F5" s="3" t="inlineStr">
        <is>
          <t>目立った傷や汚れなし</t>
        </is>
      </c>
      <c r="G5" s="5" t="inlineStr">
        <is>
          <t>2026/04/03</t>
        </is>
      </c>
      <c r="H5" s="3" t="inlineStr"/>
      <c r="I5" s="8" t="inlineStr"/>
      <c r="J5" s="3" t="inlineStr">
        <is>
          <t>出品中</t>
        </is>
      </c>
      <c r="K5" s="3" t="inlineStr">
        <is>
          <t>—</t>
        </is>
      </c>
      <c r="L5" s="3" t="inlineStr">
        <is>
          <t>らくらくメルカリ便（ネコポス）</t>
        </is>
      </c>
      <c r="M5" s="3" t="inlineStr">
        <is>
          <t>送料込み(出品者)</t>
        </is>
      </c>
      <c r="N5" s="6">
        <f>IF(J5="売却済",ROUND(I5*0.9,0),"")</f>
        <v/>
      </c>
      <c r="O5" s="7" t="inlineStr"/>
    </row>
    <row r="6" ht="20" customHeight="1">
      <c r="A6" s="3" t="n">
        <v>3</v>
      </c>
      <c r="B6" s="3" t="inlineStr">
        <is>
          <t>ワイヤレスイヤホン 充電ケース付き</t>
        </is>
      </c>
      <c r="C6" s="3" t="inlineStr">
        <is>
          <t>スマートフォン・タブレット</t>
        </is>
      </c>
      <c r="D6" s="4" t="n">
        <v>4800</v>
      </c>
      <c r="E6" s="4" t="n">
        <v>3500</v>
      </c>
      <c r="F6" s="3" t="inlineStr">
        <is>
          <t>やや傷や汚れあり</t>
        </is>
      </c>
      <c r="G6" s="5" t="inlineStr">
        <is>
          <t>2026/04/05</t>
        </is>
      </c>
      <c r="H6" s="3" t="inlineStr"/>
      <c r="I6" s="8" t="inlineStr"/>
      <c r="J6" s="3" t="inlineStr">
        <is>
          <t>出品中</t>
        </is>
      </c>
      <c r="K6" s="3" t="inlineStr">
        <is>
          <t>—</t>
        </is>
      </c>
      <c r="L6" s="3" t="inlineStr">
        <is>
          <t>ゆうゆうメルカリ便（ゆうパケット）</t>
        </is>
      </c>
      <c r="M6" s="3" t="inlineStr">
        <is>
          <t>送料込み(出品者)</t>
        </is>
      </c>
      <c r="N6" s="6">
        <f>IF(J6="売却済",ROUND(I6*0.9,0),"")</f>
        <v/>
      </c>
      <c r="O6" s="7" t="inlineStr">
        <is>
          <t>左耳のみ使用感あり</t>
        </is>
      </c>
    </row>
    <row r="7" ht="20" customHeight="1">
      <c r="A7" s="3" t="n">
        <v>4</v>
      </c>
      <c r="B7" s="3" t="inlineStr">
        <is>
          <t>料理本 3冊セット</t>
        </is>
      </c>
      <c r="C7" s="3" t="inlineStr">
        <is>
          <t>本・雑誌・漫画</t>
        </is>
      </c>
      <c r="D7" s="4" t="n">
        <v>600</v>
      </c>
      <c r="E7" s="4" t="n">
        <v>400</v>
      </c>
      <c r="F7" s="3" t="inlineStr">
        <is>
          <t>目立った傷や汚れなし</t>
        </is>
      </c>
      <c r="G7" s="5" t="inlineStr">
        <is>
          <t>2026/03/20</t>
        </is>
      </c>
      <c r="H7" s="5" t="inlineStr">
        <is>
          <t>2026/03/25</t>
        </is>
      </c>
      <c r="I7" s="4" t="n">
        <v>600</v>
      </c>
      <c r="J7" s="3" t="inlineStr">
        <is>
          <t>売却済</t>
        </is>
      </c>
      <c r="K7" s="3" t="inlineStr">
        <is>
          <t>良い</t>
        </is>
      </c>
      <c r="L7" s="3" t="inlineStr">
        <is>
          <t>ゆうゆうメルカリ便（ゆうパケット）</t>
        </is>
      </c>
      <c r="M7" s="3" t="inlineStr">
        <is>
          <t>送料込み(出品者)</t>
        </is>
      </c>
      <c r="N7" s="6">
        <f>IF(J7="売却済",ROUND(I7*0.9,0),"")</f>
        <v/>
      </c>
      <c r="O7" s="7" t="inlineStr">
        <is>
          <t>帯付き</t>
        </is>
      </c>
    </row>
    <row r="8" ht="20" customHeight="1">
      <c r="A8" s="3" t="n">
        <v>5</v>
      </c>
      <c r="B8" s="3" t="inlineStr">
        <is>
          <t>IKEA 収納ボックス 未使用</t>
        </is>
      </c>
      <c r="C8" s="3" t="inlineStr">
        <is>
          <t>インテリア・住まい・小物</t>
        </is>
      </c>
      <c r="D8" s="4" t="n">
        <v>800</v>
      </c>
      <c r="E8" s="4" t="n">
        <v>600</v>
      </c>
      <c r="F8" s="3" t="inlineStr">
        <is>
          <t>新品・未使用</t>
        </is>
      </c>
      <c r="G8" s="5" t="inlineStr">
        <is>
          <t>2026/03/15</t>
        </is>
      </c>
      <c r="H8" s="5" t="inlineStr">
        <is>
          <t>2026/03/18</t>
        </is>
      </c>
      <c r="I8" s="4" t="n">
        <v>700</v>
      </c>
      <c r="J8" s="3" t="inlineStr">
        <is>
          <t>売却済</t>
        </is>
      </c>
      <c r="K8" s="3" t="inlineStr">
        <is>
          <t>普通</t>
        </is>
      </c>
      <c r="L8" s="3" t="inlineStr">
        <is>
          <t>らくらくメルカリ便（宅急便）</t>
        </is>
      </c>
      <c r="M8" s="3" t="inlineStr">
        <is>
          <t>送料込み(出品者)</t>
        </is>
      </c>
      <c r="N8" s="6">
        <f>IF(J8="売却済",ROUND(I8*0.9,0),"")</f>
        <v/>
      </c>
      <c r="O8" s="7" t="inlineStr">
        <is>
          <t>値下げ交渉あり</t>
        </is>
      </c>
    </row>
    <row r="9" ht="20" customHeight="1">
      <c r="A9" s="9">
        <f>IF(B9&lt;&gt;"",MAX($A$4:A8)+1,"")</f>
        <v/>
      </c>
      <c r="B9" s="10" t="n"/>
      <c r="C9" s="10" t="n"/>
      <c r="D9" s="11" t="n"/>
      <c r="E9" s="11" t="n"/>
      <c r="F9" s="10" t="n"/>
      <c r="G9" s="12" t="n"/>
      <c r="H9" s="12" t="n"/>
      <c r="I9" s="11" t="n"/>
      <c r="J9" s="10" t="n"/>
      <c r="K9" s="10" t="n"/>
      <c r="L9" s="10" t="n"/>
      <c r="M9" s="10" t="n"/>
      <c r="N9" s="6">
        <f>IF(J9="売却済",ROUND(I9*0.9,0),"")</f>
        <v/>
      </c>
      <c r="O9" s="10" t="n"/>
    </row>
    <row r="10" ht="20" customHeight="1">
      <c r="A10" s="9">
        <f>IF(B10&lt;&gt;"",MAX($A$4:A9)+1,"")</f>
        <v/>
      </c>
      <c r="B10" s="10" t="n"/>
      <c r="C10" s="10" t="n"/>
      <c r="D10" s="11" t="n"/>
      <c r="E10" s="11" t="n"/>
      <c r="F10" s="10" t="n"/>
      <c r="G10" s="12" t="n"/>
      <c r="H10" s="12" t="n"/>
      <c r="I10" s="11" t="n"/>
      <c r="J10" s="10" t="n"/>
      <c r="K10" s="10" t="n"/>
      <c r="L10" s="10" t="n"/>
      <c r="M10" s="10" t="n"/>
      <c r="N10" s="6">
        <f>IF(J10="売却済",ROUND(I10*0.9,0),"")</f>
        <v/>
      </c>
      <c r="O10" s="10" t="n"/>
    </row>
    <row r="11" ht="20" customHeight="1">
      <c r="A11" s="9">
        <f>IF(B11&lt;&gt;"",MAX($A$4:A10)+1,"")</f>
        <v/>
      </c>
      <c r="B11" s="10" t="n"/>
      <c r="C11" s="10" t="n"/>
      <c r="D11" s="11" t="n"/>
      <c r="E11" s="11" t="n"/>
      <c r="F11" s="10" t="n"/>
      <c r="G11" s="12" t="n"/>
      <c r="H11" s="12" t="n"/>
      <c r="I11" s="11" t="n"/>
      <c r="J11" s="10" t="n"/>
      <c r="K11" s="10" t="n"/>
      <c r="L11" s="10" t="n"/>
      <c r="M11" s="10" t="n"/>
      <c r="N11" s="6">
        <f>IF(J11="売却済",ROUND(I11*0.9,0),"")</f>
        <v/>
      </c>
      <c r="O11" s="10" t="n"/>
    </row>
    <row r="12" ht="20" customHeight="1">
      <c r="A12" s="9">
        <f>IF(B12&lt;&gt;"",MAX($A$4:A11)+1,"")</f>
        <v/>
      </c>
      <c r="B12" s="10" t="n"/>
      <c r="C12" s="10" t="n"/>
      <c r="D12" s="11" t="n"/>
      <c r="E12" s="11" t="n"/>
      <c r="F12" s="10" t="n"/>
      <c r="G12" s="12" t="n"/>
      <c r="H12" s="12" t="n"/>
      <c r="I12" s="11" t="n"/>
      <c r="J12" s="10" t="n"/>
      <c r="K12" s="10" t="n"/>
      <c r="L12" s="10" t="n"/>
      <c r="M12" s="10" t="n"/>
      <c r="N12" s="6">
        <f>IF(J12="売却済",ROUND(I12*0.9,0),"")</f>
        <v/>
      </c>
      <c r="O12" s="10" t="n"/>
    </row>
    <row r="13" ht="20" customHeight="1">
      <c r="A13" s="9">
        <f>IF(B13&lt;&gt;"",MAX($A$4:A12)+1,"")</f>
        <v/>
      </c>
      <c r="B13" s="10" t="n"/>
      <c r="C13" s="10" t="n"/>
      <c r="D13" s="11" t="n"/>
      <c r="E13" s="11" t="n"/>
      <c r="F13" s="10" t="n"/>
      <c r="G13" s="12" t="n"/>
      <c r="H13" s="12" t="n"/>
      <c r="I13" s="11" t="n"/>
      <c r="J13" s="10" t="n"/>
      <c r="K13" s="10" t="n"/>
      <c r="L13" s="10" t="n"/>
      <c r="M13" s="10" t="n"/>
      <c r="N13" s="6">
        <f>IF(J13="売却済",ROUND(I13*0.9,0),"")</f>
        <v/>
      </c>
      <c r="O13" s="10" t="n"/>
    </row>
    <row r="14" ht="20" customHeight="1">
      <c r="A14" s="9">
        <f>IF(B14&lt;&gt;"",MAX($A$4:A13)+1,"")</f>
        <v/>
      </c>
      <c r="B14" s="10" t="n"/>
      <c r="C14" s="10" t="n"/>
      <c r="D14" s="11" t="n"/>
      <c r="E14" s="11" t="n"/>
      <c r="F14" s="10" t="n"/>
      <c r="G14" s="12" t="n"/>
      <c r="H14" s="12" t="n"/>
      <c r="I14" s="11" t="n"/>
      <c r="J14" s="10" t="n"/>
      <c r="K14" s="10" t="n"/>
      <c r="L14" s="10" t="n"/>
      <c r="M14" s="10" t="n"/>
      <c r="N14" s="6">
        <f>IF(J14="売却済",ROUND(I14*0.9,0),"")</f>
        <v/>
      </c>
      <c r="O14" s="10" t="n"/>
    </row>
    <row r="15" ht="20" customHeight="1">
      <c r="A15" s="9">
        <f>IF(B15&lt;&gt;"",MAX($A$4:A14)+1,"")</f>
        <v/>
      </c>
      <c r="B15" s="10" t="n"/>
      <c r="C15" s="10" t="n"/>
      <c r="D15" s="11" t="n"/>
      <c r="E15" s="11" t="n"/>
      <c r="F15" s="10" t="n"/>
      <c r="G15" s="12" t="n"/>
      <c r="H15" s="12" t="n"/>
      <c r="I15" s="11" t="n"/>
      <c r="J15" s="10" t="n"/>
      <c r="K15" s="10" t="n"/>
      <c r="L15" s="10" t="n"/>
      <c r="M15" s="10" t="n"/>
      <c r="N15" s="6">
        <f>IF(J15="売却済",ROUND(I15*0.9,0),"")</f>
        <v/>
      </c>
      <c r="O15" s="10" t="n"/>
    </row>
    <row r="16" ht="20" customHeight="1">
      <c r="A16" s="9">
        <f>IF(B16&lt;&gt;"",MAX($A$4:A15)+1,"")</f>
        <v/>
      </c>
      <c r="B16" s="10" t="n"/>
      <c r="C16" s="10" t="n"/>
      <c r="D16" s="11" t="n"/>
      <c r="E16" s="11" t="n"/>
      <c r="F16" s="10" t="n"/>
      <c r="G16" s="12" t="n"/>
      <c r="H16" s="12" t="n"/>
      <c r="I16" s="11" t="n"/>
      <c r="J16" s="10" t="n"/>
      <c r="K16" s="10" t="n"/>
      <c r="L16" s="10" t="n"/>
      <c r="M16" s="10" t="n"/>
      <c r="N16" s="6">
        <f>IF(J16="売却済",ROUND(I16*0.9,0),"")</f>
        <v/>
      </c>
      <c r="O16" s="10" t="n"/>
    </row>
    <row r="17" ht="20" customHeight="1">
      <c r="A17" s="9">
        <f>IF(B17&lt;&gt;"",MAX($A$4:A16)+1,"")</f>
        <v/>
      </c>
      <c r="B17" s="10" t="n"/>
      <c r="C17" s="10" t="n"/>
      <c r="D17" s="11" t="n"/>
      <c r="E17" s="11" t="n"/>
      <c r="F17" s="10" t="n"/>
      <c r="G17" s="12" t="n"/>
      <c r="H17" s="12" t="n"/>
      <c r="I17" s="11" t="n"/>
      <c r="J17" s="10" t="n"/>
      <c r="K17" s="10" t="n"/>
      <c r="L17" s="10" t="n"/>
      <c r="M17" s="10" t="n"/>
      <c r="N17" s="6">
        <f>IF(J17="売却済",ROUND(I17*0.9,0),"")</f>
        <v/>
      </c>
      <c r="O17" s="10" t="n"/>
    </row>
    <row r="18" ht="20" customHeight="1">
      <c r="A18" s="9">
        <f>IF(B18&lt;&gt;"",MAX($A$4:A17)+1,"")</f>
        <v/>
      </c>
      <c r="B18" s="10" t="n"/>
      <c r="C18" s="10" t="n"/>
      <c r="D18" s="11" t="n"/>
      <c r="E18" s="11" t="n"/>
      <c r="F18" s="10" t="n"/>
      <c r="G18" s="12" t="n"/>
      <c r="H18" s="12" t="n"/>
      <c r="I18" s="11" t="n"/>
      <c r="J18" s="10" t="n"/>
      <c r="K18" s="10" t="n"/>
      <c r="L18" s="10" t="n"/>
      <c r="M18" s="10" t="n"/>
      <c r="N18" s="6">
        <f>IF(J18="売却済",ROUND(I18*0.9,0),"")</f>
        <v/>
      </c>
      <c r="O18" s="10" t="n"/>
    </row>
    <row r="19" ht="20" customHeight="1">
      <c r="A19" s="9">
        <f>IF(B19&lt;&gt;"",MAX($A$4:A18)+1,"")</f>
        <v/>
      </c>
      <c r="B19" s="10" t="n"/>
      <c r="C19" s="10" t="n"/>
      <c r="D19" s="11" t="n"/>
      <c r="E19" s="11" t="n"/>
      <c r="F19" s="10" t="n"/>
      <c r="G19" s="12" t="n"/>
      <c r="H19" s="12" t="n"/>
      <c r="I19" s="11" t="n"/>
      <c r="J19" s="10" t="n"/>
      <c r="K19" s="10" t="n"/>
      <c r="L19" s="10" t="n"/>
      <c r="M19" s="10" t="n"/>
      <c r="N19" s="6">
        <f>IF(J19="売却済",ROUND(I19*0.9,0),"")</f>
        <v/>
      </c>
      <c r="O19" s="10" t="n"/>
    </row>
    <row r="20" ht="20" customHeight="1">
      <c r="A20" s="9">
        <f>IF(B20&lt;&gt;"",MAX($A$4:A19)+1,"")</f>
        <v/>
      </c>
      <c r="B20" s="10" t="n"/>
      <c r="C20" s="10" t="n"/>
      <c r="D20" s="11" t="n"/>
      <c r="E20" s="11" t="n"/>
      <c r="F20" s="10" t="n"/>
      <c r="G20" s="12" t="n"/>
      <c r="H20" s="12" t="n"/>
      <c r="I20" s="11" t="n"/>
      <c r="J20" s="10" t="n"/>
      <c r="K20" s="10" t="n"/>
      <c r="L20" s="10" t="n"/>
      <c r="M20" s="10" t="n"/>
      <c r="N20" s="6">
        <f>IF(J20="売却済",ROUND(I20*0.9,0),"")</f>
        <v/>
      </c>
      <c r="O20" s="10" t="n"/>
    </row>
    <row r="21" ht="20" customHeight="1">
      <c r="A21" s="9">
        <f>IF(B21&lt;&gt;"",MAX($A$4:A20)+1,"")</f>
        <v/>
      </c>
      <c r="B21" s="10" t="n"/>
      <c r="C21" s="10" t="n"/>
      <c r="D21" s="11" t="n"/>
      <c r="E21" s="11" t="n"/>
      <c r="F21" s="10" t="n"/>
      <c r="G21" s="12" t="n"/>
      <c r="H21" s="12" t="n"/>
      <c r="I21" s="11" t="n"/>
      <c r="J21" s="10" t="n"/>
      <c r="K21" s="10" t="n"/>
      <c r="L21" s="10" t="n"/>
      <c r="M21" s="10" t="n"/>
      <c r="N21" s="6">
        <f>IF(J21="売却済",ROUND(I21*0.9,0),"")</f>
        <v/>
      </c>
      <c r="O21" s="10" t="n"/>
    </row>
    <row r="22" ht="20" customHeight="1">
      <c r="A22" s="9">
        <f>IF(B22&lt;&gt;"",MAX($A$4:A21)+1,"")</f>
        <v/>
      </c>
      <c r="B22" s="10" t="n"/>
      <c r="C22" s="10" t="n"/>
      <c r="D22" s="11" t="n"/>
      <c r="E22" s="11" t="n"/>
      <c r="F22" s="10" t="n"/>
      <c r="G22" s="12" t="n"/>
      <c r="H22" s="12" t="n"/>
      <c r="I22" s="11" t="n"/>
      <c r="J22" s="10" t="n"/>
      <c r="K22" s="10" t="n"/>
      <c r="L22" s="10" t="n"/>
      <c r="M22" s="10" t="n"/>
      <c r="N22" s="6">
        <f>IF(J22="売却済",ROUND(I22*0.9,0),"")</f>
        <v/>
      </c>
      <c r="O22" s="10" t="n"/>
    </row>
    <row r="23" ht="20" customHeight="1">
      <c r="A23" s="9">
        <f>IF(B23&lt;&gt;"",MAX($A$4:A22)+1,"")</f>
        <v/>
      </c>
      <c r="B23" s="10" t="n"/>
      <c r="C23" s="10" t="n"/>
      <c r="D23" s="11" t="n"/>
      <c r="E23" s="11" t="n"/>
      <c r="F23" s="10" t="n"/>
      <c r="G23" s="12" t="n"/>
      <c r="H23" s="12" t="n"/>
      <c r="I23" s="11" t="n"/>
      <c r="J23" s="10" t="n"/>
      <c r="K23" s="10" t="n"/>
      <c r="L23" s="10" t="n"/>
      <c r="M23" s="10" t="n"/>
      <c r="N23" s="6">
        <f>IF(J23="売却済",ROUND(I23*0.9,0),"")</f>
        <v/>
      </c>
      <c r="O23" s="10" t="n"/>
    </row>
    <row r="24" ht="20" customHeight="1">
      <c r="A24" s="9">
        <f>IF(B24&lt;&gt;"",MAX($A$4:A23)+1,"")</f>
        <v/>
      </c>
      <c r="B24" s="10" t="n"/>
      <c r="C24" s="10" t="n"/>
      <c r="D24" s="11" t="n"/>
      <c r="E24" s="11" t="n"/>
      <c r="F24" s="10" t="n"/>
      <c r="G24" s="12" t="n"/>
      <c r="H24" s="12" t="n"/>
      <c r="I24" s="11" t="n"/>
      <c r="J24" s="10" t="n"/>
      <c r="K24" s="10" t="n"/>
      <c r="L24" s="10" t="n"/>
      <c r="M24" s="10" t="n"/>
      <c r="N24" s="6">
        <f>IF(J24="売却済",ROUND(I24*0.9,0),"")</f>
        <v/>
      </c>
      <c r="O24" s="10" t="n"/>
    </row>
    <row r="25" ht="20" customHeight="1">
      <c r="A25" s="9">
        <f>IF(B25&lt;&gt;"",MAX($A$4:A24)+1,"")</f>
        <v/>
      </c>
      <c r="B25" s="10" t="n"/>
      <c r="C25" s="10" t="n"/>
      <c r="D25" s="11" t="n"/>
      <c r="E25" s="11" t="n"/>
      <c r="F25" s="10" t="n"/>
      <c r="G25" s="12" t="n"/>
      <c r="H25" s="12" t="n"/>
      <c r="I25" s="11" t="n"/>
      <c r="J25" s="10" t="n"/>
      <c r="K25" s="10" t="n"/>
      <c r="L25" s="10" t="n"/>
      <c r="M25" s="10" t="n"/>
      <c r="N25" s="6">
        <f>IF(J25="売却済",ROUND(I25*0.9,0),"")</f>
        <v/>
      </c>
      <c r="O25" s="10" t="n"/>
    </row>
    <row r="26" ht="20" customHeight="1">
      <c r="A26" s="9">
        <f>IF(B26&lt;&gt;"",MAX($A$4:A25)+1,"")</f>
        <v/>
      </c>
      <c r="B26" s="10" t="n"/>
      <c r="C26" s="10" t="n"/>
      <c r="D26" s="11" t="n"/>
      <c r="E26" s="11" t="n"/>
      <c r="F26" s="10" t="n"/>
      <c r="G26" s="12" t="n"/>
      <c r="H26" s="12" t="n"/>
      <c r="I26" s="11" t="n"/>
      <c r="J26" s="10" t="n"/>
      <c r="K26" s="10" t="n"/>
      <c r="L26" s="10" t="n"/>
      <c r="M26" s="10" t="n"/>
      <c r="N26" s="6">
        <f>IF(J26="売却済",ROUND(I26*0.9,0),"")</f>
        <v/>
      </c>
      <c r="O26" s="10" t="n"/>
    </row>
    <row r="27" ht="20" customHeight="1">
      <c r="A27" s="9">
        <f>IF(B27&lt;&gt;"",MAX($A$4:A26)+1,"")</f>
        <v/>
      </c>
      <c r="B27" s="10" t="n"/>
      <c r="C27" s="10" t="n"/>
      <c r="D27" s="11" t="n"/>
      <c r="E27" s="11" t="n"/>
      <c r="F27" s="10" t="n"/>
      <c r="G27" s="12" t="n"/>
      <c r="H27" s="12" t="n"/>
      <c r="I27" s="11" t="n"/>
      <c r="J27" s="10" t="n"/>
      <c r="K27" s="10" t="n"/>
      <c r="L27" s="10" t="n"/>
      <c r="M27" s="10" t="n"/>
      <c r="N27" s="6">
        <f>IF(J27="売却済",ROUND(I27*0.9,0),"")</f>
        <v/>
      </c>
      <c r="O27" s="10" t="n"/>
    </row>
    <row r="28" ht="20" customHeight="1">
      <c r="A28" s="9">
        <f>IF(B28&lt;&gt;"",MAX($A$4:A27)+1,"")</f>
        <v/>
      </c>
      <c r="B28" s="10" t="n"/>
      <c r="C28" s="10" t="n"/>
      <c r="D28" s="11" t="n"/>
      <c r="E28" s="11" t="n"/>
      <c r="F28" s="10" t="n"/>
      <c r="G28" s="12" t="n"/>
      <c r="H28" s="12" t="n"/>
      <c r="I28" s="11" t="n"/>
      <c r="J28" s="10" t="n"/>
      <c r="K28" s="10" t="n"/>
      <c r="L28" s="10" t="n"/>
      <c r="M28" s="10" t="n"/>
      <c r="N28" s="6">
        <f>IF(J28="売却済",ROUND(I28*0.9,0),"")</f>
        <v/>
      </c>
      <c r="O28" s="10" t="n"/>
    </row>
  </sheetData>
  <mergeCells count="1">
    <mergeCell ref="A1:O1"/>
  </mergeCells>
  <dataValidations count="4">
    <dataValidation sqref="J4:J28" showDropDown="0" showInputMessage="0" showErrorMessage="0" allowBlank="1" type="list">
      <formula1>"出品中,売却済,削除済"</formula1>
    </dataValidation>
    <dataValidation sqref="F4:F28" showDropDown="0" showInputMessage="0" showErrorMessage="0" allowBlank="1" type="list">
      <formula1>"新品・未使用,未使用に近い,目立った傷や汚れなし,やや傷や汚れあり,傷や汚れあり,全体的に状態が悪い"</formula1>
    </dataValidation>
    <dataValidation sqref="K4:K28" showDropDown="0" showInputMessage="0" showErrorMessage="0" allowBlank="1" type="list">
      <formula1>"良い,普通,悪い,—"</formula1>
    </dataValidation>
    <dataValidation sqref="M4:M28" showDropDown="0" showInputMessage="0" showErrorMessage="0" allowBlank="1" type="list">
      <formula1>"送料込み(出品者),着払い(購入者)"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25" customWidth="1" min="6" max="6"/>
  </cols>
  <sheetData>
    <row r="1" ht="30" customHeight="1">
      <c r="A1" s="1" t="inlineStr">
        <is>
          <t>月別売上集計</t>
        </is>
      </c>
    </row>
    <row r="2" ht="8" customHeight="1"/>
    <row r="3" ht="28" customHeight="1">
      <c r="A3" s="2" t="inlineStr">
        <is>
          <t>年月</t>
        </is>
      </c>
      <c r="B3" s="2" t="inlineStr">
        <is>
          <t>売却件数</t>
        </is>
      </c>
      <c r="C3" s="2" t="inlineStr">
        <is>
          <t>売上合計(円)</t>
        </is>
      </c>
      <c r="D3" s="2" t="inlineStr">
        <is>
          <t>手数料10%(円)</t>
        </is>
      </c>
      <c r="E3" s="2" t="inlineStr">
        <is>
          <t>実収入(円)</t>
        </is>
      </c>
      <c r="F3" s="2" t="inlineStr">
        <is>
          <t>備考</t>
        </is>
      </c>
    </row>
    <row r="4" ht="20" customHeight="1">
      <c r="A4" s="13" t="inlineStr">
        <is>
          <t>2026/01</t>
        </is>
      </c>
      <c r="B4" s="14">
        <f>COUNTIFS(出品管理!$J$4:$J$200,"売却済",出品管理!$H$4:$H$200,A4&amp;"*")</f>
        <v/>
      </c>
      <c r="C4" s="15">
        <f>SUMIFS(出品管理!$I$4:$I$200,出品管理!$J$4:$J$200,"売却済",出品管理!$H$4:$H$200,A4&amp;"*")</f>
        <v/>
      </c>
      <c r="D4" s="15">
        <f>ROUND(C4*0.1,0)</f>
        <v/>
      </c>
      <c r="E4" s="6">
        <f>C4-D4</f>
        <v/>
      </c>
      <c r="F4" s="16" t="n"/>
    </row>
    <row r="5" ht="20" customHeight="1">
      <c r="A5" s="13" t="inlineStr">
        <is>
          <t>2026/02</t>
        </is>
      </c>
      <c r="B5" s="14">
        <f>COUNTIFS(出品管理!$J$4:$J$200,"売却済",出品管理!$H$4:$H$200,A5&amp;"*")</f>
        <v/>
      </c>
      <c r="C5" s="15">
        <f>SUMIFS(出品管理!$I$4:$I$200,出品管理!$J$4:$J$200,"売却済",出品管理!$H$4:$H$200,A5&amp;"*")</f>
        <v/>
      </c>
      <c r="D5" s="15">
        <f>ROUND(C5*0.1,0)</f>
        <v/>
      </c>
      <c r="E5" s="6">
        <f>C5-D5</f>
        <v/>
      </c>
      <c r="F5" s="16" t="n"/>
    </row>
    <row r="6" ht="20" customHeight="1">
      <c r="A6" s="13" t="inlineStr">
        <is>
          <t>2026/03</t>
        </is>
      </c>
      <c r="B6" s="14">
        <f>COUNTIFS(出品管理!$J$4:$J$200,"売却済",出品管理!$H$4:$H$200,A6&amp;"*")</f>
        <v/>
      </c>
      <c r="C6" s="15">
        <f>SUMIFS(出品管理!$I$4:$I$200,出品管理!$J$4:$J$200,"売却済",出品管理!$H$4:$H$200,A6&amp;"*")</f>
        <v/>
      </c>
      <c r="D6" s="15">
        <f>ROUND(C6*0.1,0)</f>
        <v/>
      </c>
      <c r="E6" s="6">
        <f>C6-D6</f>
        <v/>
      </c>
      <c r="F6" s="16" t="n"/>
    </row>
    <row r="7" ht="20" customHeight="1">
      <c r="A7" s="13" t="inlineStr">
        <is>
          <t>2026/04</t>
        </is>
      </c>
      <c r="B7" s="14">
        <f>COUNTIFS(出品管理!$J$4:$J$200,"売却済",出品管理!$H$4:$H$200,A7&amp;"*")</f>
        <v/>
      </c>
      <c r="C7" s="15">
        <f>SUMIFS(出品管理!$I$4:$I$200,出品管理!$J$4:$J$200,"売却済",出品管理!$H$4:$H$200,A7&amp;"*")</f>
        <v/>
      </c>
      <c r="D7" s="15">
        <f>ROUND(C7*0.1,0)</f>
        <v/>
      </c>
      <c r="E7" s="6">
        <f>C7-D7</f>
        <v/>
      </c>
      <c r="F7" s="16" t="n"/>
    </row>
    <row r="8" ht="20" customHeight="1">
      <c r="A8" s="13" t="inlineStr">
        <is>
          <t>2026/05</t>
        </is>
      </c>
      <c r="B8" s="14">
        <f>COUNTIFS(出品管理!$J$4:$J$200,"売却済",出品管理!$H$4:$H$200,A8&amp;"*")</f>
        <v/>
      </c>
      <c r="C8" s="15">
        <f>SUMIFS(出品管理!$I$4:$I$200,出品管理!$J$4:$J$200,"売却済",出品管理!$H$4:$H$200,A8&amp;"*")</f>
        <v/>
      </c>
      <c r="D8" s="15">
        <f>ROUND(C8*0.1,0)</f>
        <v/>
      </c>
      <c r="E8" s="6">
        <f>C8-D8</f>
        <v/>
      </c>
      <c r="F8" s="16" t="n"/>
    </row>
    <row r="9" ht="20" customHeight="1">
      <c r="A9" s="13" t="inlineStr">
        <is>
          <t>2026/06</t>
        </is>
      </c>
      <c r="B9" s="14">
        <f>COUNTIFS(出品管理!$J$4:$J$200,"売却済",出品管理!$H$4:$H$200,A9&amp;"*")</f>
        <v/>
      </c>
      <c r="C9" s="15">
        <f>SUMIFS(出品管理!$I$4:$I$200,出品管理!$J$4:$J$200,"売却済",出品管理!$H$4:$H$200,A9&amp;"*")</f>
        <v/>
      </c>
      <c r="D9" s="15">
        <f>ROUND(C9*0.1,0)</f>
        <v/>
      </c>
      <c r="E9" s="6">
        <f>C9-D9</f>
        <v/>
      </c>
      <c r="F9" s="16" t="n"/>
    </row>
    <row r="10" ht="20" customHeight="1">
      <c r="A10" s="13" t="inlineStr">
        <is>
          <t>2026/07</t>
        </is>
      </c>
      <c r="B10" s="14">
        <f>COUNTIFS(出品管理!$J$4:$J$200,"売却済",出品管理!$H$4:$H$200,A10&amp;"*")</f>
        <v/>
      </c>
      <c r="C10" s="15">
        <f>SUMIFS(出品管理!$I$4:$I$200,出品管理!$J$4:$J$200,"売却済",出品管理!$H$4:$H$200,A10&amp;"*")</f>
        <v/>
      </c>
      <c r="D10" s="15">
        <f>ROUND(C10*0.1,0)</f>
        <v/>
      </c>
      <c r="E10" s="6">
        <f>C10-D10</f>
        <v/>
      </c>
      <c r="F10" s="16" t="n"/>
    </row>
    <row r="11" ht="20" customHeight="1">
      <c r="A11" s="13" t="inlineStr">
        <is>
          <t>2026/08</t>
        </is>
      </c>
      <c r="B11" s="14">
        <f>COUNTIFS(出品管理!$J$4:$J$200,"売却済",出品管理!$H$4:$H$200,A11&amp;"*")</f>
        <v/>
      </c>
      <c r="C11" s="15">
        <f>SUMIFS(出品管理!$I$4:$I$200,出品管理!$J$4:$J$200,"売却済",出品管理!$H$4:$H$200,A11&amp;"*")</f>
        <v/>
      </c>
      <c r="D11" s="15">
        <f>ROUND(C11*0.1,0)</f>
        <v/>
      </c>
      <c r="E11" s="6">
        <f>C11-D11</f>
        <v/>
      </c>
      <c r="F11" s="16" t="n"/>
    </row>
    <row r="12" ht="20" customHeight="1">
      <c r="A12" s="13" t="inlineStr">
        <is>
          <t>2026/09</t>
        </is>
      </c>
      <c r="B12" s="14">
        <f>COUNTIFS(出品管理!$J$4:$J$200,"売却済",出品管理!$H$4:$H$200,A12&amp;"*")</f>
        <v/>
      </c>
      <c r="C12" s="15">
        <f>SUMIFS(出品管理!$I$4:$I$200,出品管理!$J$4:$J$200,"売却済",出品管理!$H$4:$H$200,A12&amp;"*")</f>
        <v/>
      </c>
      <c r="D12" s="15">
        <f>ROUND(C12*0.1,0)</f>
        <v/>
      </c>
      <c r="E12" s="6">
        <f>C12-D12</f>
        <v/>
      </c>
      <c r="F12" s="16" t="n"/>
    </row>
    <row r="13" ht="20" customHeight="1">
      <c r="A13" s="13" t="inlineStr">
        <is>
          <t>2026/10</t>
        </is>
      </c>
      <c r="B13" s="14">
        <f>COUNTIFS(出品管理!$J$4:$J$200,"売却済",出品管理!$H$4:$H$200,A13&amp;"*")</f>
        <v/>
      </c>
      <c r="C13" s="15">
        <f>SUMIFS(出品管理!$I$4:$I$200,出品管理!$J$4:$J$200,"売却済",出品管理!$H$4:$H$200,A13&amp;"*")</f>
        <v/>
      </c>
      <c r="D13" s="15">
        <f>ROUND(C13*0.1,0)</f>
        <v/>
      </c>
      <c r="E13" s="6">
        <f>C13-D13</f>
        <v/>
      </c>
      <c r="F13" s="16" t="n"/>
    </row>
    <row r="14" ht="20" customHeight="1">
      <c r="A14" s="13" t="inlineStr">
        <is>
          <t>2026/11</t>
        </is>
      </c>
      <c r="B14" s="14">
        <f>COUNTIFS(出品管理!$J$4:$J$200,"売却済",出品管理!$H$4:$H$200,A14&amp;"*")</f>
        <v/>
      </c>
      <c r="C14" s="15">
        <f>SUMIFS(出品管理!$I$4:$I$200,出品管理!$J$4:$J$200,"売却済",出品管理!$H$4:$H$200,A14&amp;"*")</f>
        <v/>
      </c>
      <c r="D14" s="15">
        <f>ROUND(C14*0.1,0)</f>
        <v/>
      </c>
      <c r="E14" s="6">
        <f>C14-D14</f>
        <v/>
      </c>
      <c r="F14" s="16" t="n"/>
    </row>
    <row r="15" ht="20" customHeight="1">
      <c r="A15" s="13" t="inlineStr">
        <is>
          <t>2026/12</t>
        </is>
      </c>
      <c r="B15" s="14">
        <f>COUNTIFS(出品管理!$J$4:$J$200,"売却済",出品管理!$H$4:$H$200,A15&amp;"*")</f>
        <v/>
      </c>
      <c r="C15" s="15">
        <f>SUMIFS(出品管理!$I$4:$I$200,出品管理!$J$4:$J$200,"売却済",出品管理!$H$4:$H$200,A15&amp;"*")</f>
        <v/>
      </c>
      <c r="D15" s="15">
        <f>ROUND(C15*0.1,0)</f>
        <v/>
      </c>
      <c r="E15" s="6">
        <f>C15-D15</f>
        <v/>
      </c>
      <c r="F15" s="16" t="n"/>
    </row>
    <row r="16" ht="22" customHeight="1">
      <c r="A16" s="17" t="inlineStr">
        <is>
          <t>年間合計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9" t="n"/>
    </row>
    <row r="18">
      <c r="A18" s="20" t="inlineStr">
        <is>
          <t>※ 手数料は売上の10%（メルカリ標準手数料）として計算しています。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4" customWidth="1" min="4" max="4"/>
    <col width="18" customWidth="1" min="5" max="5"/>
  </cols>
  <sheetData>
    <row r="1" ht="30" customHeight="1">
      <c r="A1" s="1" t="inlineStr">
        <is>
          <t>発送方法リスト</t>
        </is>
      </c>
    </row>
    <row r="2" ht="8" customHeight="1"/>
    <row r="3" ht="28" customHeight="1">
      <c r="A3" s="2" t="inlineStr">
        <is>
          <t>発送方法</t>
        </is>
      </c>
      <c r="B3" s="2" t="inlineStr">
        <is>
          <t>サービス区分</t>
        </is>
      </c>
      <c r="C3" s="2" t="inlineStr">
        <is>
          <t>サイズ上限</t>
        </is>
      </c>
      <c r="D3" s="2" t="inlineStr">
        <is>
          <t>重量上限</t>
        </is>
      </c>
      <c r="E3" s="2" t="inlineStr">
        <is>
          <t>送料目安（円）</t>
        </is>
      </c>
    </row>
    <row r="4" ht="20" customHeight="1">
      <c r="A4" s="21" t="inlineStr">
        <is>
          <t>らくらくメルカリ便（ネコポス）</t>
        </is>
      </c>
      <c r="B4" s="21" t="inlineStr">
        <is>
          <t>ヤマト運輸</t>
        </is>
      </c>
      <c r="C4" s="21" t="inlineStr">
        <is>
          <t>A4サイズ・厚さ3cm以内</t>
        </is>
      </c>
      <c r="D4" s="21" t="inlineStr">
        <is>
          <t>1kg以内</t>
        </is>
      </c>
      <c r="E4" s="22" t="n">
        <v>210</v>
      </c>
    </row>
    <row r="5" ht="20" customHeight="1">
      <c r="A5" s="21" t="inlineStr">
        <is>
          <t>らくらくメルカリ便（宅急便コンパクト）</t>
        </is>
      </c>
      <c r="B5" s="21" t="inlineStr">
        <is>
          <t>ヤマト運輸</t>
        </is>
      </c>
      <c r="C5" s="21" t="inlineStr">
        <is>
          <t>専用BOX使用</t>
        </is>
      </c>
      <c r="D5" s="21" t="inlineStr">
        <is>
          <t>—</t>
        </is>
      </c>
      <c r="E5" s="22" t="n">
        <v>450</v>
      </c>
    </row>
    <row r="6" ht="20" customHeight="1">
      <c r="A6" s="21" t="inlineStr">
        <is>
          <t>らくらくメルカリ便（宅急便）60サイズ</t>
        </is>
      </c>
      <c r="B6" s="21" t="inlineStr">
        <is>
          <t>ヤマト運輸</t>
        </is>
      </c>
      <c r="C6" s="21" t="inlineStr">
        <is>
          <t>60cm以内</t>
        </is>
      </c>
      <c r="D6" s="21" t="inlineStr">
        <is>
          <t>2kg以内</t>
        </is>
      </c>
      <c r="E6" s="22" t="n">
        <v>750</v>
      </c>
    </row>
    <row r="7" ht="20" customHeight="1">
      <c r="A7" s="21" t="inlineStr">
        <is>
          <t>らくらくメルカリ便（宅急便）80サイズ</t>
        </is>
      </c>
      <c r="B7" s="21" t="inlineStr">
        <is>
          <t>ヤマト運輸</t>
        </is>
      </c>
      <c r="C7" s="21" t="inlineStr">
        <is>
          <t>80cm以内</t>
        </is>
      </c>
      <c r="D7" s="21" t="inlineStr">
        <is>
          <t>5kg以内</t>
        </is>
      </c>
      <c r="E7" s="22" t="n">
        <v>850</v>
      </c>
    </row>
    <row r="8" ht="20" customHeight="1">
      <c r="A8" s="21" t="inlineStr">
        <is>
          <t>らくらくメルカリ便（宅急便）100サイズ</t>
        </is>
      </c>
      <c r="B8" s="21" t="inlineStr">
        <is>
          <t>ヤマト運輸</t>
        </is>
      </c>
      <c r="C8" s="21" t="inlineStr">
        <is>
          <t>100cm以内</t>
        </is>
      </c>
      <c r="D8" s="21" t="inlineStr">
        <is>
          <t>10kg以内</t>
        </is>
      </c>
      <c r="E8" s="22" t="n">
        <v>1050</v>
      </c>
    </row>
    <row r="9" ht="20" customHeight="1">
      <c r="A9" s="21" t="inlineStr">
        <is>
          <t>らくらくメルカリ便（宅急便）120サイズ</t>
        </is>
      </c>
      <c r="B9" s="21" t="inlineStr">
        <is>
          <t>ヤマト運輸</t>
        </is>
      </c>
      <c r="C9" s="21" t="inlineStr">
        <is>
          <t>120cm以内</t>
        </is>
      </c>
      <c r="D9" s="21" t="inlineStr">
        <is>
          <t>15kg以内</t>
        </is>
      </c>
      <c r="E9" s="22" t="n">
        <v>1200</v>
      </c>
    </row>
    <row r="10" ht="20" customHeight="1">
      <c r="A10" s="21" t="inlineStr">
        <is>
          <t>らくらくメルカリ便（宅急便）140サイズ</t>
        </is>
      </c>
      <c r="B10" s="21" t="inlineStr">
        <is>
          <t>ヤマト運輸</t>
        </is>
      </c>
      <c r="C10" s="21" t="inlineStr">
        <is>
          <t>140cm以内</t>
        </is>
      </c>
      <c r="D10" s="21" t="inlineStr">
        <is>
          <t>20kg以内</t>
        </is>
      </c>
      <c r="E10" s="22" t="n">
        <v>1450</v>
      </c>
    </row>
    <row r="11" ht="20" customHeight="1">
      <c r="A11" s="21" t="inlineStr">
        <is>
          <t>らくらくメルカリ便（宅急便）160サイズ</t>
        </is>
      </c>
      <c r="B11" s="21" t="inlineStr">
        <is>
          <t>ヤマト運輸</t>
        </is>
      </c>
      <c r="C11" s="21" t="inlineStr">
        <is>
          <t>160cm以内</t>
        </is>
      </c>
      <c r="D11" s="21" t="inlineStr">
        <is>
          <t>25kg以内</t>
        </is>
      </c>
      <c r="E11" s="22" t="n">
        <v>1700</v>
      </c>
    </row>
    <row r="12" ht="20" customHeight="1">
      <c r="A12" s="23" t="inlineStr">
        <is>
          <t>ゆうゆうメルカリ便（ゆうパケット）</t>
        </is>
      </c>
      <c r="B12" s="23" t="inlineStr">
        <is>
          <t>日本郵便</t>
        </is>
      </c>
      <c r="C12" s="23" t="inlineStr">
        <is>
          <t>A4サイズ・厚さ3cm以内</t>
        </is>
      </c>
      <c r="D12" s="23" t="inlineStr">
        <is>
          <t>1kg以内</t>
        </is>
      </c>
      <c r="E12" s="24" t="n">
        <v>230</v>
      </c>
    </row>
    <row r="13" ht="20" customHeight="1">
      <c r="A13" s="23" t="inlineStr">
        <is>
          <t>ゆうゆうメルカリ便（ゆうパケットポスト）</t>
        </is>
      </c>
      <c r="B13" s="23" t="inlineStr">
        <is>
          <t>日本郵便</t>
        </is>
      </c>
      <c r="C13" s="23" t="inlineStr">
        <is>
          <t>縦34cm・横25cm以内・厚さ3.5cm以内</t>
        </is>
      </c>
      <c r="D13" s="23" t="inlineStr">
        <is>
          <t>2kg以内</t>
        </is>
      </c>
      <c r="E13" s="24" t="n">
        <v>215</v>
      </c>
    </row>
    <row r="14" ht="20" customHeight="1">
      <c r="A14" s="23" t="inlineStr">
        <is>
          <t>ゆうゆうメルカリ便（ゆうパック）60サイズ</t>
        </is>
      </c>
      <c r="B14" s="23" t="inlineStr">
        <is>
          <t>日本郵便</t>
        </is>
      </c>
      <c r="C14" s="23" t="inlineStr">
        <is>
          <t>60cm以内</t>
        </is>
      </c>
      <c r="D14" s="23" t="inlineStr">
        <is>
          <t>25kg以内</t>
        </is>
      </c>
      <c r="E14" s="24" t="n">
        <v>770</v>
      </c>
    </row>
    <row r="15" ht="20" customHeight="1">
      <c r="A15" s="23" t="inlineStr">
        <is>
          <t>ゆうゆうメルカリ便（ゆうパック）80サイズ</t>
        </is>
      </c>
      <c r="B15" s="23" t="inlineStr">
        <is>
          <t>日本郵便</t>
        </is>
      </c>
      <c r="C15" s="23" t="inlineStr">
        <is>
          <t>80cm以内</t>
        </is>
      </c>
      <c r="D15" s="23" t="inlineStr">
        <is>
          <t>25kg以内</t>
        </is>
      </c>
      <c r="E15" s="24" t="n">
        <v>870</v>
      </c>
    </row>
    <row r="16" ht="20" customHeight="1">
      <c r="A16" s="23" t="inlineStr">
        <is>
          <t>ゆうゆうメルカリ便（ゆうパック）100サイズ</t>
        </is>
      </c>
      <c r="B16" s="23" t="inlineStr">
        <is>
          <t>日本郵便</t>
        </is>
      </c>
      <c r="C16" s="23" t="inlineStr">
        <is>
          <t>100cm以内</t>
        </is>
      </c>
      <c r="D16" s="23" t="inlineStr">
        <is>
          <t>25kg以内</t>
        </is>
      </c>
      <c r="E16" s="24" t="n">
        <v>1070</v>
      </c>
    </row>
    <row r="17" ht="20" customHeight="1">
      <c r="A17" s="25" t="inlineStr">
        <is>
          <t>梱包・発送たのメル便（60サイズ相当）</t>
        </is>
      </c>
      <c r="B17" s="25" t="inlineStr">
        <is>
          <t>SGホールディングス</t>
        </is>
      </c>
      <c r="C17" s="25" t="inlineStr">
        <is>
          <t>60〜80cm</t>
        </is>
      </c>
      <c r="D17" s="25" t="inlineStr">
        <is>
          <t>〜10kg</t>
        </is>
      </c>
      <c r="E17" s="26" t="n">
        <v>1700</v>
      </c>
    </row>
    <row r="18" ht="20" customHeight="1">
      <c r="A18" s="25" t="inlineStr">
        <is>
          <t>梱包・発送たのメル便（100〜120サイズ相当）</t>
        </is>
      </c>
      <c r="B18" s="25" t="inlineStr">
        <is>
          <t>SGホールディングス</t>
        </is>
      </c>
      <c r="C18" s="25" t="inlineStr">
        <is>
          <t>100〜120cm</t>
        </is>
      </c>
      <c r="D18" s="25" t="inlineStr">
        <is>
          <t>〜30kg</t>
        </is>
      </c>
      <c r="E18" s="26" t="n">
        <v>2900</v>
      </c>
    </row>
    <row r="19" ht="20" customHeight="1">
      <c r="A19" s="25" t="inlineStr">
        <is>
          <t>梱包・発送たのメル便（160〜200サイズ相当）</t>
        </is>
      </c>
      <c r="B19" s="25" t="inlineStr">
        <is>
          <t>SGホールディングス</t>
        </is>
      </c>
      <c r="C19" s="25" t="inlineStr">
        <is>
          <t>160〜200cm</t>
        </is>
      </c>
      <c r="D19" s="25" t="inlineStr">
        <is>
          <t>〜50kg</t>
        </is>
      </c>
      <c r="E19" s="26" t="n">
        <v>5000</v>
      </c>
    </row>
    <row r="20" ht="20" customHeight="1">
      <c r="A20" s="25" t="inlineStr">
        <is>
          <t>梱包・発送たのメル便（大型家具・家電）</t>
        </is>
      </c>
      <c r="B20" s="25" t="inlineStr">
        <is>
          <t>SGホールディングス</t>
        </is>
      </c>
      <c r="C20" s="25" t="inlineStr">
        <is>
          <t>200cm超</t>
        </is>
      </c>
      <c r="D20" s="25" t="inlineStr">
        <is>
          <t>〜100kg</t>
        </is>
      </c>
      <c r="E20" s="26" t="n">
        <v>9000</v>
      </c>
    </row>
    <row r="22">
      <c r="A22" s="27" t="inlineStr">
        <is>
          <t>【色の凡例】  青: らくらくメルカリ便（ヤマト）   緑: ゆうゆうメルカリ便（日本郵便）   黄: 梱包・発送たのメル便</t>
        </is>
      </c>
    </row>
    <row r="23">
      <c r="A23" s="20" t="inlineStr">
        <is>
          <t>※ 送料はメルカリ公式の参考価格です。変動する場合があります。</t>
        </is>
      </c>
    </row>
  </sheetData>
  <mergeCells count="3">
    <mergeCell ref="A22:E22"/>
    <mergeCell ref="A1:E1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</cols>
  <sheetData>
    <row r="1" ht="30" customHeight="1">
      <c r="A1" s="1" t="inlineStr">
        <is>
          <t>使い方ガイド</t>
        </is>
      </c>
    </row>
    <row r="3" ht="22" customHeight="1">
      <c r="B3" s="28" t="inlineStr">
        <is>
          <t>【出品管理シートの使い方】</t>
        </is>
      </c>
    </row>
    <row r="4" ht="22" customHeight="1">
      <c r="B4" s="29" t="inlineStr">
        <is>
          <t>商品名</t>
        </is>
      </c>
      <c r="C4" s="7" t="inlineStr">
        <is>
          <t>出品する商品の名前を入力してください（カラー・サイズなど詳細も記入推奨）</t>
        </is>
      </c>
    </row>
    <row r="5" ht="22" customHeight="1">
      <c r="B5" s="29" t="inlineStr">
        <is>
          <t>カテゴリ</t>
        </is>
      </c>
      <c r="C5" s="7" t="inlineStr">
        <is>
          <t>メルカリのカテゴリに合わせて入力（例：メンズファッション、スマートフォン・タブレット）</t>
        </is>
      </c>
    </row>
    <row r="6" ht="22" customHeight="1">
      <c r="B6" s="29" t="inlineStr">
        <is>
          <t>出品価格</t>
        </is>
      </c>
      <c r="C6" s="7" t="inlineStr">
        <is>
          <t>実際にメルカリに出品した価格を入力してください（円）</t>
        </is>
      </c>
    </row>
    <row r="7" ht="22" customHeight="1">
      <c r="B7" s="29" t="inlineStr">
        <is>
          <t>希望最低価格</t>
        </is>
      </c>
      <c r="C7" s="7" t="inlineStr">
        <is>
          <t>値下げ交渉の下限として設定する価格（円）。参考用です。</t>
        </is>
      </c>
    </row>
    <row r="8" ht="22" customHeight="1">
      <c r="B8" s="29" t="inlineStr">
        <is>
          <t>商品の状態</t>
        </is>
      </c>
      <c r="C8" s="7" t="inlineStr">
        <is>
          <t>ドロップダウンから選択できます。メルカリの表記に合わせています。</t>
        </is>
      </c>
    </row>
    <row r="9" ht="22" customHeight="1">
      <c r="B9" s="29" t="inlineStr">
        <is>
          <t>ステータス</t>
        </is>
      </c>
      <c r="C9" s="7" t="inlineStr">
        <is>
          <t>「出品中」「売却済」「削除済」からドロップダウンで選択</t>
        </is>
      </c>
    </row>
    <row r="10" ht="22" customHeight="1">
      <c r="B10" s="29" t="inlineStr">
        <is>
          <t>売却日・売却価格</t>
        </is>
      </c>
      <c r="C10" s="7" t="inlineStr">
        <is>
          <t>売却が確定したら入力してください。利益欄は自動計算されます。</t>
        </is>
      </c>
    </row>
    <row r="11" ht="22" customHeight="1">
      <c r="B11" s="29" t="inlineStr">
        <is>
          <t>利益</t>
        </is>
      </c>
      <c r="C11" s="7" t="inlineStr">
        <is>
          <t>売却価格の90%（手数料10%差し引き後）を自動計算します。</t>
        </is>
      </c>
    </row>
    <row r="13" ht="22" customHeight="1">
      <c r="B13" s="28" t="inlineStr">
        <is>
          <t>【売上集計シートの使い方】</t>
        </is>
      </c>
    </row>
    <row r="14" ht="22" customHeight="1">
      <c r="B14" s="29" t="inlineStr">
        <is>
          <t>自動集計</t>
        </is>
      </c>
      <c r="C14" s="7" t="inlineStr">
        <is>
          <t>出品管理シートへの入力内容をもとに月別売上を自動集計します。</t>
        </is>
      </c>
    </row>
    <row r="15" ht="22" customHeight="1">
      <c r="B15" s="29" t="inlineStr">
        <is>
          <t>手数料</t>
        </is>
      </c>
      <c r="C15" s="7" t="inlineStr">
        <is>
          <t>売上合計の10%を自動で差し引いた実収入を表示します。</t>
        </is>
      </c>
    </row>
    <row r="17" ht="22" customHeight="1">
      <c r="B17" s="30" t="inlineStr">
        <is>
          <t>【ご注意】</t>
        </is>
      </c>
    </row>
    <row r="18" ht="22" customHeight="1">
      <c r="B18" s="29" t="inlineStr">
        <is>
          <t>行を追加する場合</t>
        </is>
      </c>
      <c r="C18" s="7" t="inlineStr">
        <is>
          <t>29行目以降にそのまま入力してください。数式は事前に入力済みです。</t>
        </is>
      </c>
    </row>
    <row r="19" ht="22" customHeight="1">
      <c r="B19" s="29" t="inlineStr">
        <is>
          <t>日付の入力形式</t>
        </is>
      </c>
      <c r="C19" s="7" t="inlineStr">
        <is>
          <t>YYYY/MM/DD 形式で入力してください（例：2026/04/16）</t>
        </is>
      </c>
    </row>
    <row r="20" ht="22" customHeight="1">
      <c r="B20" s="29" t="inlineStr">
        <is>
          <t>売上集計の集計範囲</t>
        </is>
      </c>
      <c r="C20" s="7" t="inlineStr">
        <is>
          <t>出品管理シートの4〜200行目を対象としています。200件以上になる場合は数式の範囲を拡張してください。</t>
        </is>
      </c>
    </row>
  </sheetData>
  <mergeCells count="4">
    <mergeCell ref="A1:C1"/>
    <mergeCell ref="B3:C3"/>
    <mergeCell ref="B13:C13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2026-04-16T13:31:46Z</dcterms:created>
  <dcterms:modified xsi:type="dcterms:W3CDTF">2026-04-16T13:31:46Z</dcterms:modified>
</cp:coreProperties>
</file>